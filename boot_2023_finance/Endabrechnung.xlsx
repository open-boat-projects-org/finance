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bert_Privat\OpenPlotter\Boot_2023\"/>
    </mc:Choice>
  </mc:AlternateContent>
  <xr:revisionPtr revIDLastSave="0" documentId="13_ncr:1_{39B3637C-97BE-41CA-9977-23C8626ADE91}" xr6:coauthVersionLast="47" xr6:coauthVersionMax="47" xr10:uidLastSave="{00000000-0000-0000-0000-000000000000}"/>
  <bookViews>
    <workbookView xWindow="-108" yWindow="-108" windowWidth="23256" windowHeight="12456" xr2:uid="{3359EAC3-E81F-4FA9-ABE3-8A90DA3FED5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15" i="1"/>
  <c r="B14" i="1"/>
  <c r="B26" i="1"/>
  <c r="B25" i="1"/>
  <c r="B24" i="1"/>
  <c r="B23" i="1"/>
  <c r="B22" i="1"/>
  <c r="B9" i="1"/>
  <c r="B19" i="1"/>
  <c r="B18" i="1"/>
  <c r="B13" i="1"/>
  <c r="B12" i="1"/>
  <c r="B28" i="1" l="1"/>
  <c r="B30" i="1" l="1"/>
  <c r="E28" i="1"/>
</calcChain>
</file>

<file path=xl/sharedStrings.xml><?xml version="1.0" encoding="utf-8"?>
<sst xmlns="http://schemas.openxmlformats.org/spreadsheetml/2006/main" count="28" uniqueCount="27">
  <si>
    <t>Endabrechnung Boot 2023</t>
  </si>
  <si>
    <t>Spendeneinnahmen über Messe</t>
  </si>
  <si>
    <t>Summe</t>
  </si>
  <si>
    <t>Einnahmen</t>
  </si>
  <si>
    <t>Ausgaben</t>
  </si>
  <si>
    <t>Transaktionsgebühren Spenden</t>
  </si>
  <si>
    <t>Transaktionsgebühren Eintrittskarten</t>
  </si>
  <si>
    <t>Benzinkosten</t>
  </si>
  <si>
    <t>Eintrittskarten</t>
  </si>
  <si>
    <t>Einnahmen aus Eintrittskarten</t>
  </si>
  <si>
    <t>Standfläche</t>
  </si>
  <si>
    <t>AUMA Beitrag</t>
  </si>
  <si>
    <t>Medienpauschale</t>
  </si>
  <si>
    <t>Entsorgungspauschale</t>
  </si>
  <si>
    <t>Ausstellerausweis zusätzlich</t>
  </si>
  <si>
    <t>4x Arduino Starter-Sets</t>
  </si>
  <si>
    <t>5x Ergänzungen zum Starter-Set</t>
  </si>
  <si>
    <t>Stromverbrauch</t>
  </si>
  <si>
    <t>Guthaben</t>
  </si>
  <si>
    <t>Spendeneinnahmen aus 2022/2023</t>
  </si>
  <si>
    <t>Bereitstellung Stromanschluss</t>
  </si>
  <si>
    <t>Hallenstromversorgung Anschluss</t>
  </si>
  <si>
    <t>Verbleibendes Guthaben</t>
  </si>
  <si>
    <t>Euro *</t>
  </si>
  <si>
    <t>* Kosten inkl. MwSt.</t>
  </si>
  <si>
    <t>Spendeneinnahmen aus 2020-2022</t>
  </si>
  <si>
    <t>2x Präsente + Porto für Verlosung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</si>
</sst>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0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455A-8DCC-4548-9B3B-A32C7A68470B}">
  <dimension ref="A1:E32"/>
  <sheetViews>
    <sheetView tabSelected="1" workbookViewId="0">
      <selection activeCell="E32" sqref="E32"/>
    </sheetView>
  </sheetViews>
  <sheetFormatPr baseColWidth="10" defaultRowHeight="14.4" x14ac:dyDescent="0.3"/>
  <cols>
    <col min="1" max="1" width="33.88671875" customWidth="1"/>
    <col min="2" max="2" width="11.44140625" style="2"/>
  </cols>
  <sheetData>
    <row r="1" spans="1:3" x14ac:dyDescent="0.3">
      <c r="A1" s="1" t="s">
        <v>0</v>
      </c>
    </row>
    <row r="3" spans="1:3" x14ac:dyDescent="0.3">
      <c r="A3" s="1" t="s">
        <v>3</v>
      </c>
      <c r="B3" s="5" t="s">
        <v>23</v>
      </c>
    </row>
    <row r="4" spans="1:3" x14ac:dyDescent="0.3">
      <c r="A4" t="s">
        <v>25</v>
      </c>
      <c r="B4" s="2">
        <v>2480</v>
      </c>
      <c r="C4" t="s">
        <v>18</v>
      </c>
    </row>
    <row r="5" spans="1:3" x14ac:dyDescent="0.3">
      <c r="A5" t="s">
        <v>19</v>
      </c>
      <c r="B5" s="2">
        <v>1050</v>
      </c>
    </row>
    <row r="6" spans="1:3" x14ac:dyDescent="0.3">
      <c r="A6" t="s">
        <v>1</v>
      </c>
      <c r="B6" s="2">
        <v>150</v>
      </c>
    </row>
    <row r="7" spans="1:3" x14ac:dyDescent="0.3">
      <c r="A7" t="s">
        <v>9</v>
      </c>
      <c r="B7" s="2">
        <v>1040</v>
      </c>
    </row>
    <row r="9" spans="1:3" x14ac:dyDescent="0.3">
      <c r="A9" s="1" t="s">
        <v>2</v>
      </c>
      <c r="B9" s="3">
        <f>SUM(B4:B7)</f>
        <v>4720</v>
      </c>
    </row>
    <row r="11" spans="1:3" x14ac:dyDescent="0.3">
      <c r="A11" s="1" t="s">
        <v>4</v>
      </c>
    </row>
    <row r="12" spans="1:3" x14ac:dyDescent="0.3">
      <c r="A12" t="s">
        <v>5</v>
      </c>
      <c r="B12" s="2">
        <f>(B5+B6)*0.0425</f>
        <v>51.000000000000007</v>
      </c>
      <c r="C12" s="4">
        <v>4.2500000000000003E-2</v>
      </c>
    </row>
    <row r="13" spans="1:3" x14ac:dyDescent="0.3">
      <c r="A13" t="s">
        <v>6</v>
      </c>
      <c r="B13" s="2">
        <f>1040 *0.0425</f>
        <v>44.2</v>
      </c>
      <c r="C13" s="4">
        <v>4.2500000000000003E-2</v>
      </c>
    </row>
    <row r="14" spans="1:3" x14ac:dyDescent="0.3">
      <c r="A14" t="s">
        <v>15</v>
      </c>
      <c r="B14" s="2">
        <f>48*4*1.19</f>
        <v>228.48</v>
      </c>
    </row>
    <row r="15" spans="1:3" x14ac:dyDescent="0.3">
      <c r="A15" t="s">
        <v>16</v>
      </c>
      <c r="B15" s="2">
        <f>18*5</f>
        <v>90</v>
      </c>
    </row>
    <row r="16" spans="1:3" x14ac:dyDescent="0.3">
      <c r="A16" t="s">
        <v>26</v>
      </c>
      <c r="B16" s="2">
        <v>45</v>
      </c>
    </row>
    <row r="17" spans="1:5" x14ac:dyDescent="0.3">
      <c r="A17" t="s">
        <v>7</v>
      </c>
      <c r="B17" s="2">
        <v>150</v>
      </c>
    </row>
    <row r="18" spans="1:5" x14ac:dyDescent="0.3">
      <c r="A18" t="s">
        <v>20</v>
      </c>
      <c r="B18" s="2">
        <f>133.7*1.19</f>
        <v>159.10299999999998</v>
      </c>
    </row>
    <row r="19" spans="1:5" x14ac:dyDescent="0.3">
      <c r="A19" t="s">
        <v>21</v>
      </c>
      <c r="B19" s="2">
        <f>28.2*1.19</f>
        <v>33.558</v>
      </c>
    </row>
    <row r="20" spans="1:5" x14ac:dyDescent="0.3">
      <c r="A20" t="s">
        <v>17</v>
      </c>
      <c r="B20" s="2">
        <f>42.4*1.19</f>
        <v>50.455999999999996</v>
      </c>
    </row>
    <row r="21" spans="1:5" x14ac:dyDescent="0.3">
      <c r="A21" t="s">
        <v>8</v>
      </c>
      <c r="B21" s="2">
        <f>1048.32*1.19</f>
        <v>1247.5007999999998</v>
      </c>
    </row>
    <row r="22" spans="1:5" x14ac:dyDescent="0.3">
      <c r="A22" t="s">
        <v>14</v>
      </c>
      <c r="B22" s="2">
        <f>54*1.19</f>
        <v>64.259999999999991</v>
      </c>
    </row>
    <row r="23" spans="1:5" x14ac:dyDescent="0.3">
      <c r="A23" t="s">
        <v>10</v>
      </c>
      <c r="B23" s="2">
        <f>796*1.19</f>
        <v>947.24</v>
      </c>
    </row>
    <row r="24" spans="1:5" x14ac:dyDescent="0.3">
      <c r="A24" t="s">
        <v>11</v>
      </c>
      <c r="B24" s="2">
        <f>4.8*1.19</f>
        <v>5.7119999999999997</v>
      </c>
    </row>
    <row r="25" spans="1:5" x14ac:dyDescent="0.3">
      <c r="A25" t="s">
        <v>12</v>
      </c>
      <c r="B25" s="2">
        <f>470*1.19</f>
        <v>559.29999999999995</v>
      </c>
    </row>
    <row r="26" spans="1:5" x14ac:dyDescent="0.3">
      <c r="A26" t="s">
        <v>13</v>
      </c>
      <c r="B26" s="2">
        <f>21.6*1.19</f>
        <v>25.704000000000001</v>
      </c>
    </row>
    <row r="28" spans="1:5" x14ac:dyDescent="0.3">
      <c r="A28" s="1" t="s">
        <v>2</v>
      </c>
      <c r="B28" s="3">
        <f>SUM(B12:B26)</f>
        <v>3701.5137999999993</v>
      </c>
      <c r="E28" s="2">
        <f>B28-B21</f>
        <v>2454.0129999999995</v>
      </c>
    </row>
    <row r="30" spans="1:5" x14ac:dyDescent="0.3">
      <c r="A30" s="1" t="s">
        <v>22</v>
      </c>
      <c r="B30" s="3">
        <f>B9-B28</f>
        <v>1018.4862000000007</v>
      </c>
    </row>
    <row r="32" spans="1:5" x14ac:dyDescent="0.3">
      <c r="A32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Walter</dc:creator>
  <cp:lastModifiedBy>Norbert Walter</cp:lastModifiedBy>
  <dcterms:created xsi:type="dcterms:W3CDTF">2023-02-28T09:32:58Z</dcterms:created>
  <dcterms:modified xsi:type="dcterms:W3CDTF">2026-01-08T14:34:20Z</dcterms:modified>
</cp:coreProperties>
</file>